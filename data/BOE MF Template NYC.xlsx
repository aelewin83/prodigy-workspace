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lewin/Library/CloudStorage/Dropbox/Projects/Real Estate/2 - Templates/"/>
    </mc:Choice>
  </mc:AlternateContent>
  <xr:revisionPtr revIDLastSave="0" documentId="8_{6F889F03-5A0A-8641-8497-2134AA1D139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BOE Analysis" sheetId="2" r:id="rId1"/>
  </sheets>
  <calcPr calcId="191029" iterate="1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C44" i="2"/>
  <c r="C43" i="2"/>
  <c r="D43" i="2" s="1"/>
  <c r="D36" i="2"/>
  <c r="D38" i="2"/>
  <c r="H7" i="2"/>
  <c r="H6" i="2"/>
  <c r="H5" i="2"/>
  <c r="C18" i="2"/>
  <c r="D13" i="2"/>
  <c r="C50" i="2" s="1"/>
  <c r="D50" i="2" s="1"/>
  <c r="H47" i="2"/>
  <c r="D37" i="2"/>
  <c r="D17" i="2"/>
  <c r="K6" i="2"/>
  <c r="D53" i="2" l="1"/>
  <c r="D54" i="2"/>
  <c r="D55" i="2"/>
  <c r="D49" i="2"/>
  <c r="D57" i="2"/>
  <c r="D58" i="2"/>
  <c r="D59" i="2"/>
  <c r="D56" i="2"/>
  <c r="D60" i="2"/>
  <c r="D52" i="2"/>
  <c r="D44" i="2"/>
  <c r="H4" i="2"/>
  <c r="H8" i="2"/>
  <c r="H9" i="2" s="1"/>
  <c r="H38" i="2"/>
  <c r="H28" i="2"/>
  <c r="H25" i="2"/>
  <c r="H24" i="2"/>
  <c r="D41" i="2"/>
  <c r="D40" i="2"/>
  <c r="D39" i="2"/>
  <c r="C20" i="2"/>
  <c r="C19" i="2"/>
  <c r="H29" i="2" l="1"/>
  <c r="H30" i="2" s="1"/>
  <c r="D45" i="2"/>
  <c r="H11" i="2" l="1"/>
  <c r="H10" i="2"/>
  <c r="C45" i="2"/>
  <c r="C51" i="2" s="1"/>
  <c r="D51" i="2" s="1"/>
  <c r="H12" i="2" l="1"/>
  <c r="H17" i="2" s="1"/>
  <c r="H39" i="2" s="1"/>
  <c r="C61" i="2"/>
  <c r="D61" i="2"/>
  <c r="C28" i="2" l="1"/>
  <c r="C29" i="2" s="1" a="1"/>
  <c r="C29" i="2" s="1"/>
  <c r="D66" i="2" s="1"/>
  <c r="D62" i="2"/>
  <c r="D65" i="2"/>
  <c r="H40" i="2" l="1"/>
  <c r="K3" i="2" s="1"/>
  <c r="H34" i="2"/>
  <c r="C27" i="2"/>
  <c r="C30" i="2"/>
  <c r="H41" i="2" s="1"/>
  <c r="D68" i="2"/>
  <c r="H52" i="2"/>
  <c r="H64" i="2" s="1"/>
  <c r="H48" i="2"/>
  <c r="H65" i="2" s="1"/>
  <c r="H55" i="2"/>
  <c r="D69" i="2"/>
  <c r="H50" i="2" s="1"/>
  <c r="H63" i="2" s="1"/>
  <c r="K4" i="2" l="1"/>
  <c r="H42" i="2"/>
  <c r="H54" i="2" s="1"/>
  <c r="H59" i="2" s="1"/>
  <c r="D67" i="2"/>
  <c r="K5" i="2" s="1"/>
  <c r="K7" i="2" s="1"/>
  <c r="C31" i="2"/>
  <c r="D32" i="2" s="1"/>
  <c r="D31" i="2" s="1"/>
  <c r="H61" i="2"/>
  <c r="H56" i="2"/>
  <c r="H51" i="2" l="1"/>
  <c r="H60" i="2" s="1"/>
  <c r="H53" i="2"/>
  <c r="H62" i="2" s="1"/>
  <c r="H35" i="2"/>
  <c r="H36" i="2" s="1"/>
  <c r="K8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<sst xmlns="http://schemas.openxmlformats.org/spreadsheetml/2006/main" count="151" uniqueCount="141">
  <si>
    <t>Insurance</t>
  </si>
  <si>
    <t>Marketing</t>
  </si>
  <si>
    <t>Reserves</t>
  </si>
  <si>
    <t>Other</t>
  </si>
  <si>
    <t>Loan Amount:</t>
  </si>
  <si>
    <t>Total Revenue</t>
  </si>
  <si>
    <t>Property Taxes</t>
  </si>
  <si>
    <t>Total Expenses</t>
  </si>
  <si>
    <t>Current Taxes</t>
  </si>
  <si>
    <t>Future Taxes</t>
  </si>
  <si>
    <t>Revenue</t>
  </si>
  <si>
    <t>Annual</t>
  </si>
  <si>
    <t>Capital Budget</t>
  </si>
  <si>
    <t>Item 7</t>
  </si>
  <si>
    <t>Item 8</t>
  </si>
  <si>
    <t>Item 9</t>
  </si>
  <si>
    <t>Item 10</t>
  </si>
  <si>
    <t>Total Capital</t>
  </si>
  <si>
    <t>Assessment Today:</t>
  </si>
  <si>
    <t>Annual Taxes Today:</t>
  </si>
  <si>
    <t>Tax Rate:</t>
  </si>
  <si>
    <t>Reassessment (% of Price):</t>
  </si>
  <si>
    <t>Future Assessment:</t>
  </si>
  <si>
    <t>Future Annual Tax:</t>
  </si>
  <si>
    <t>Loan Cost:</t>
  </si>
  <si>
    <t>Expense Ratio:</t>
  </si>
  <si>
    <t>Type:</t>
  </si>
  <si>
    <t>Interest Rate:</t>
  </si>
  <si>
    <t>Loan Cost (% of Loan):</t>
  </si>
  <si>
    <t>City/State:</t>
  </si>
  <si>
    <t>Address:</t>
  </si>
  <si>
    <t>Total Equity Required*</t>
  </si>
  <si>
    <t>*Includes Loan Cost</t>
  </si>
  <si>
    <t>Annual Per Unit</t>
  </si>
  <si>
    <t>Future Tax Per Unit:</t>
  </si>
  <si>
    <t>Annual Payment:</t>
  </si>
  <si>
    <t>Mortgage</t>
  </si>
  <si>
    <t>Monthly Per Unit</t>
  </si>
  <si>
    <t>NOI</t>
  </si>
  <si>
    <t>Payroll</t>
  </si>
  <si>
    <t>Utilities</t>
  </si>
  <si>
    <t>Contract Services</t>
  </si>
  <si>
    <t>Profit Potential:</t>
  </si>
  <si>
    <t>LTC:</t>
  </si>
  <si>
    <t>All Expenses (Except Taxes)</t>
  </si>
  <si>
    <t>IO</t>
  </si>
  <si>
    <t>Average Commercial Rent (Monthly)</t>
  </si>
  <si>
    <t>Rent Premium (Comm)</t>
  </si>
  <si>
    <t>DOES THIS DEAL PENCIL?</t>
  </si>
  <si>
    <t>Yield on Cost Test</t>
  </si>
  <si>
    <t>DSCR Test</t>
  </si>
  <si>
    <t>YEAR 1 RETURN METRICS</t>
  </si>
  <si>
    <t>Y1 DSCR:</t>
  </si>
  <si>
    <t>Y1 Exit Cap Rate:</t>
  </si>
  <si>
    <t>Y1 CapEx Value Multiple</t>
  </si>
  <si>
    <t>Y1 Expense Ratio</t>
  </si>
  <si>
    <t>Y1 Cash-on-Cash:</t>
  </si>
  <si>
    <t>SOURCES &amp; USES</t>
  </si>
  <si>
    <t>Sources</t>
  </si>
  <si>
    <t>Senior Loan Funded</t>
  </si>
  <si>
    <t>Equity Funded</t>
  </si>
  <si>
    <t>Uses</t>
  </si>
  <si>
    <t>Total Uses</t>
  </si>
  <si>
    <t>Total Sources</t>
  </si>
  <si>
    <t>PROPERTY TAXES</t>
  </si>
  <si>
    <t>Y1 Yield on Cost (Unlevered):</t>
  </si>
  <si>
    <t>Residual Sale @ Exit Cap:</t>
  </si>
  <si>
    <t>BUDGET</t>
  </si>
  <si>
    <t>GENERAL PROPERTY INFO</t>
  </si>
  <si>
    <t>PRICING AND FINANCING METRICS</t>
  </si>
  <si>
    <t>Expenses</t>
  </si>
  <si>
    <t>REVENUE FROM OPERATIONS</t>
  </si>
  <si>
    <t>EXPENSES FROM OPERATIONS</t>
  </si>
  <si>
    <t>CASH FLOW FROM OPERATIONS</t>
  </si>
  <si>
    <t>CapEx Value Multiple Test</t>
  </si>
  <si>
    <t>Expense Ratio Test</t>
  </si>
  <si>
    <t>Taxes Per Unit Today:</t>
  </si>
  <si>
    <t>Positive Leverage Test</t>
  </si>
  <si>
    <t>Market Cap Rate:</t>
  </si>
  <si>
    <t>Market Cap Rate Test</t>
  </si>
  <si>
    <t xml:space="preserve">Hard Veto </t>
  </si>
  <si>
    <t>Soft</t>
  </si>
  <si>
    <t>Advance / Kill Rule</t>
  </si>
  <si>
    <t>BACK SOLVED MAX PRICE (BOE ONLY)</t>
  </si>
  <si>
    <t>Max Price at YOC:</t>
  </si>
  <si>
    <t>Max Price at CapEx Multiple:</t>
  </si>
  <si>
    <t>Max Price at CoC Threshold:</t>
  </si>
  <si>
    <t>BOE Max Bid:</t>
  </si>
  <si>
    <t>Delta</t>
  </si>
  <si>
    <t>Asking Price:</t>
  </si>
  <si>
    <t>Notes:</t>
  </si>
  <si>
    <t>&gt; All Hard Veto tests PASS and</t>
  </si>
  <si>
    <t>&gt; 4 of the 7 total tests PASS</t>
  </si>
  <si>
    <t>Total Hard Costs</t>
  </si>
  <si>
    <t>Acquisition Costs (% of PP)</t>
  </si>
  <si>
    <t>Building HC (% of PP)</t>
  </si>
  <si>
    <t>Soft Costs (% of HC)</t>
  </si>
  <si>
    <t>HC Contingency (% of HC)</t>
  </si>
  <si>
    <t>SC Contingency (% of SC)</t>
  </si>
  <si>
    <t>FM Units</t>
  </si>
  <si>
    <t>Seller's NOI (From OM):</t>
  </si>
  <si>
    <t>Asking Cap Rate:</t>
  </si>
  <si>
    <t>Analysis Cap Rate:</t>
  </si>
  <si>
    <t>&gt; Exit cap assumes stabilized FM rents and unchanged RS rents; no regulatory upside assumed.</t>
  </si>
  <si>
    <t>Interest Reserve</t>
  </si>
  <si>
    <t>Purchase Price</t>
  </si>
  <si>
    <t>CapEx</t>
  </si>
  <si>
    <t>Financing Costs</t>
  </si>
  <si>
    <t>DSCR</t>
  </si>
  <si>
    <t>Cash Flow (Economic / Pre-Reserve)</t>
  </si>
  <si>
    <t>Cash Flow (After Reserve Funding)</t>
  </si>
  <si>
    <r>
      <t>Cash on Cash Test</t>
    </r>
    <r>
      <rPr>
        <i/>
        <sz val="11"/>
        <color theme="1"/>
        <rFont val="Arial"/>
        <family val="2"/>
      </rPr>
      <t xml:space="preserve"> (Based on Pre-Reserve Operating Equity)</t>
    </r>
  </si>
  <si>
    <t>Total Units</t>
  </si>
  <si>
    <t>Rentable SF</t>
  </si>
  <si>
    <t>Deposit</t>
  </si>
  <si>
    <t>Price Per Unit:</t>
  </si>
  <si>
    <t>Price Per SF</t>
  </si>
  <si>
    <t>Senior Debt</t>
  </si>
  <si>
    <t>Year Built</t>
  </si>
  <si>
    <t>Neighborhood</t>
  </si>
  <si>
    <t>RS Unit HC</t>
  </si>
  <si>
    <t>FM Unit HC</t>
  </si>
  <si>
    <t>RS Units</t>
  </si>
  <si>
    <t>Commerical Unit HC</t>
  </si>
  <si>
    <t>New York, NY 10002</t>
  </si>
  <si>
    <t>Lower East Side</t>
  </si>
  <si>
    <t>Average RS Rent (Monthly)</t>
  </si>
  <si>
    <t>Average FM Rent (Monthly)</t>
  </si>
  <si>
    <t>G&amp;A / Legal</t>
  </si>
  <si>
    <t>85 Pitt Street</t>
  </si>
  <si>
    <t>Block/Lot</t>
  </si>
  <si>
    <t>344-68</t>
  </si>
  <si>
    <t>Rent Premium (FM Resi)</t>
  </si>
  <si>
    <t>Total Resi Units:</t>
  </si>
  <si>
    <t>Total Commercial Units</t>
  </si>
  <si>
    <t>Tax Class:</t>
  </si>
  <si>
    <t>Laundry</t>
  </si>
  <si>
    <t>Expense Recoveries</t>
  </si>
  <si>
    <t>Repairs &amp; Maintenance</t>
  </si>
  <si>
    <t>Bank</t>
  </si>
  <si>
    <t>&gt; Price required to meet minimum BOE thresholds is 16% below ask; CapEx Multiple is the binding constraint.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</si>
</sst>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0%\ &quot;MGMT Fee&quot;"/>
    <numFmt numFmtId="166" formatCode="&quot;$&quot;#,##0\ \-\ \(\I\O\)"/>
    <numFmt numFmtId="167" formatCode="&quot;$&quot;#,##0\ \-\ &quot;LP&quot;"/>
    <numFmt numFmtId="168" formatCode="&quot;$&quot;#,##0\ \-\ &quot;GP&quot;"/>
    <numFmt numFmtId="169" formatCode="0.00\x"/>
    <numFmt numFmtId="170" formatCode="0\ &quot;Months&quot;"/>
    <numFmt numFmtId="171" formatCode="0.00%\ &quot;Residential Vacancy &amp; Credit Loss&quot;"/>
    <numFmt numFmtId="172" formatCode="0.00%\ &quot;Commercial Vacancy &amp; Credit Loss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FF"/>
      <name val="Arial"/>
      <family val="2"/>
    </font>
    <font>
      <sz val="11"/>
      <name val="Arial"/>
      <family val="2"/>
    </font>
    <font>
      <i/>
      <sz val="11"/>
      <color rgb="FF0213FF"/>
      <name val="Arial"/>
      <family val="2"/>
    </font>
    <font>
      <i/>
      <sz val="11"/>
      <color rgb="FF00B05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rgb="FF0213FF"/>
      <name val="Arial"/>
      <family val="2"/>
    </font>
    <font>
      <u/>
      <sz val="11"/>
      <name val="Arial"/>
      <family val="2"/>
    </font>
    <font>
      <sz val="11"/>
      <color rgb="FFC00000"/>
      <name val="Arial"/>
      <family val="2"/>
    </font>
    <font>
      <b/>
      <sz val="11"/>
      <color rgb="FFC00000"/>
      <name val="Arial"/>
      <family val="2"/>
    </font>
    <font>
      <b/>
      <u/>
      <sz val="11"/>
      <color theme="1"/>
      <name val="Arial"/>
      <family val="2"/>
    </font>
    <font>
      <sz val="11"/>
      <color rgb="FF0E0E0E"/>
      <name val="Arial"/>
      <family val="2"/>
    </font>
    <font>
      <b/>
      <i/>
      <sz val="11"/>
      <color rgb="FF0213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BD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12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3" fillId="2" borderId="0" xfId="0" applyFont="1" applyFill="1"/>
    <xf numFmtId="164" fontId="13" fillId="2" borderId="0" xfId="0" applyNumberFormat="1" applyFont="1" applyFill="1" applyAlignment="1">
      <alignment horizontal="right"/>
    </xf>
    <xf numFmtId="164" fontId="13" fillId="2" borderId="0" xfId="0" applyNumberFormat="1" applyFont="1" applyFill="1" applyAlignment="1">
      <alignment horizontal="center"/>
    </xf>
    <xf numFmtId="0" fontId="18" fillId="2" borderId="0" xfId="0" applyFont="1" applyFill="1"/>
    <xf numFmtId="0" fontId="18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left" indent="1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left" indent="1"/>
    </xf>
    <xf numFmtId="0" fontId="2" fillId="2" borderId="6" xfId="0" applyFont="1" applyFill="1" applyBorder="1"/>
    <xf numFmtId="0" fontId="6" fillId="4" borderId="1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2" fillId="2" borderId="8" xfId="0" applyFont="1" applyFill="1" applyBorder="1"/>
    <xf numFmtId="0" fontId="6" fillId="4" borderId="7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164" fontId="11" fillId="2" borderId="4" xfId="0" applyNumberFormat="1" applyFont="1" applyFill="1" applyBorder="1" applyAlignment="1">
      <alignment horizontal="right"/>
    </xf>
    <xf numFmtId="0" fontId="2" fillId="2" borderId="3" xfId="0" applyFont="1" applyFill="1" applyBorder="1"/>
    <xf numFmtId="164" fontId="2" fillId="2" borderId="0" xfId="0" applyNumberFormat="1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0" fontId="14" fillId="2" borderId="3" xfId="0" applyFont="1" applyFill="1" applyBorder="1" applyAlignment="1">
      <alignment horizontal="left" indent="1"/>
    </xf>
    <xf numFmtId="0" fontId="14" fillId="2" borderId="4" xfId="0" applyFont="1" applyFill="1" applyBorder="1" applyAlignment="1">
      <alignment horizontal="right"/>
    </xf>
    <xf numFmtId="166" fontId="2" fillId="2" borderId="4" xfId="0" applyNumberFormat="1" applyFont="1" applyFill="1" applyBorder="1" applyAlignment="1">
      <alignment horizontal="right"/>
    </xf>
    <xf numFmtId="167" fontId="2" fillId="2" borderId="4" xfId="0" applyNumberFormat="1" applyFont="1" applyFill="1" applyBorder="1" applyAlignment="1">
      <alignment horizontal="right"/>
    </xf>
    <xf numFmtId="0" fontId="4" fillId="2" borderId="5" xfId="0" applyFont="1" applyFill="1" applyBorder="1"/>
    <xf numFmtId="168" fontId="2" fillId="2" borderId="6" xfId="0" applyNumberFormat="1" applyFont="1" applyFill="1" applyBorder="1" applyAlignment="1">
      <alignment horizontal="right"/>
    </xf>
    <xf numFmtId="0" fontId="5" fillId="2" borderId="3" xfId="0" applyFont="1" applyFill="1" applyBorder="1"/>
    <xf numFmtId="0" fontId="5" fillId="2" borderId="0" xfId="0" applyFont="1" applyFill="1" applyAlignment="1">
      <alignment horizontal="right"/>
    </xf>
    <xf numFmtId="0" fontId="15" fillId="2" borderId="4" xfId="0" applyFont="1" applyFill="1" applyBorder="1" applyAlignment="1">
      <alignment horizontal="right"/>
    </xf>
    <xf numFmtId="0" fontId="8" fillId="2" borderId="3" xfId="0" applyFont="1" applyFill="1" applyBorder="1" applyAlignment="1">
      <alignment horizontal="left" indent="1"/>
    </xf>
    <xf numFmtId="164" fontId="8" fillId="2" borderId="0" xfId="0" applyNumberFormat="1" applyFont="1" applyFill="1" applyAlignment="1">
      <alignment horizontal="right"/>
    </xf>
    <xf numFmtId="164" fontId="9" fillId="2" borderId="4" xfId="0" applyNumberFormat="1" applyFont="1" applyFill="1" applyBorder="1" applyAlignment="1">
      <alignment horizontal="right"/>
    </xf>
    <xf numFmtId="0" fontId="13" fillId="6" borderId="5" xfId="0" applyFont="1" applyFill="1" applyBorder="1"/>
    <xf numFmtId="164" fontId="13" fillId="6" borderId="8" xfId="0" applyNumberFormat="1" applyFont="1" applyFill="1" applyBorder="1" applyAlignment="1">
      <alignment horizontal="right"/>
    </xf>
    <xf numFmtId="164" fontId="13" fillId="6" borderId="6" xfId="0" applyNumberFormat="1" applyFont="1" applyFill="1" applyBorder="1" applyAlignment="1">
      <alignment horizontal="right"/>
    </xf>
    <xf numFmtId="165" fontId="8" fillId="2" borderId="3" xfId="0" applyNumberFormat="1" applyFont="1" applyFill="1" applyBorder="1" applyAlignment="1">
      <alignment horizontal="left" indent="1"/>
    </xf>
    <xf numFmtId="0" fontId="13" fillId="6" borderId="3" xfId="0" applyFont="1" applyFill="1" applyBorder="1"/>
    <xf numFmtId="164" fontId="17" fillId="6" borderId="0" xfId="0" applyNumberFormat="1" applyFont="1" applyFill="1" applyAlignment="1">
      <alignment horizontal="right"/>
    </xf>
    <xf numFmtId="164" fontId="4" fillId="2" borderId="5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right"/>
    </xf>
    <xf numFmtId="10" fontId="4" fillId="2" borderId="6" xfId="1" applyNumberFormat="1" applyFont="1" applyFill="1" applyBorder="1" applyAlignment="1">
      <alignment horizontal="right"/>
    </xf>
    <xf numFmtId="164" fontId="13" fillId="6" borderId="4" xfId="0" applyNumberFormat="1" applyFont="1" applyFill="1" applyBorder="1" applyAlignment="1">
      <alignment horizontal="right"/>
    </xf>
    <xf numFmtId="0" fontId="3" fillId="3" borderId="5" xfId="0" applyFont="1" applyFill="1" applyBorder="1"/>
    <xf numFmtId="164" fontId="3" fillId="3" borderId="8" xfId="0" applyNumberFormat="1" applyFont="1" applyFill="1" applyBorder="1" applyAlignment="1">
      <alignment horizontal="right"/>
    </xf>
    <xf numFmtId="164" fontId="8" fillId="2" borderId="4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0" fontId="2" fillId="2" borderId="4" xfId="1" applyNumberFormat="1" applyFont="1" applyFill="1" applyBorder="1" applyAlignment="1">
      <alignment horizontal="right"/>
    </xf>
    <xf numFmtId="10" fontId="8" fillId="2" borderId="4" xfId="1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164" fontId="2" fillId="2" borderId="4" xfId="0" applyNumberFormat="1" applyFont="1" applyFill="1" applyBorder="1"/>
    <xf numFmtId="164" fontId="2" fillId="2" borderId="3" xfId="0" applyNumberFormat="1" applyFont="1" applyFill="1" applyBorder="1" applyAlignment="1">
      <alignment horizontal="left" indent="1"/>
    </xf>
    <xf numFmtId="0" fontId="3" fillId="7" borderId="3" xfId="0" applyFont="1" applyFill="1" applyBorder="1"/>
    <xf numFmtId="10" fontId="14" fillId="7" borderId="4" xfId="1" applyNumberFormat="1" applyFont="1" applyFill="1" applyBorder="1"/>
    <xf numFmtId="10" fontId="2" fillId="3" borderId="4" xfId="1" applyNumberFormat="1" applyFont="1" applyFill="1" applyBorder="1" applyAlignment="1">
      <alignment horizontal="right"/>
    </xf>
    <xf numFmtId="10" fontId="8" fillId="3" borderId="4" xfId="1" applyNumberFormat="1" applyFont="1" applyFill="1" applyBorder="1" applyAlignment="1">
      <alignment horizontal="right"/>
    </xf>
    <xf numFmtId="169" fontId="2" fillId="7" borderId="4" xfId="1" applyNumberFormat="1" applyFont="1" applyFill="1" applyBorder="1"/>
    <xf numFmtId="10" fontId="2" fillId="7" borderId="4" xfId="0" applyNumberFormat="1" applyFont="1" applyFill="1" applyBorder="1"/>
    <xf numFmtId="164" fontId="3" fillId="3" borderId="4" xfId="0" applyNumberFormat="1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0" fontId="2" fillId="2" borderId="5" xfId="0" applyFont="1" applyFill="1" applyBorder="1"/>
    <xf numFmtId="0" fontId="3" fillId="8" borderId="6" xfId="0" applyFont="1" applyFill="1" applyBorder="1" applyAlignment="1">
      <alignment horizontal="right"/>
    </xf>
    <xf numFmtId="164" fontId="3" fillId="7" borderId="4" xfId="0" applyNumberFormat="1" applyFont="1" applyFill="1" applyBorder="1"/>
    <xf numFmtId="10" fontId="4" fillId="2" borderId="6" xfId="1" applyNumberFormat="1" applyFont="1" applyFill="1" applyBorder="1"/>
    <xf numFmtId="0" fontId="6" fillId="4" borderId="7" xfId="0" applyFont="1" applyFill="1" applyBorder="1" applyAlignment="1">
      <alignment horizontal="left"/>
    </xf>
    <xf numFmtId="0" fontId="5" fillId="2" borderId="0" xfId="0" applyFont="1" applyFill="1"/>
    <xf numFmtId="0" fontId="13" fillId="6" borderId="8" xfId="0" applyFont="1" applyFill="1" applyBorder="1"/>
    <xf numFmtId="0" fontId="2" fillId="2" borderId="0" xfId="0" applyFont="1" applyFill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0" fontId="13" fillId="6" borderId="0" xfId="0" applyFont="1" applyFill="1"/>
    <xf numFmtId="164" fontId="2" fillId="2" borderId="0" xfId="0" applyNumberFormat="1" applyFont="1" applyFill="1" applyAlignment="1">
      <alignment horizontal="left" indent="1"/>
    </xf>
    <xf numFmtId="0" fontId="3" fillId="7" borderId="0" xfId="0" applyFont="1" applyFill="1"/>
    <xf numFmtId="164" fontId="3" fillId="3" borderId="0" xfId="0" applyNumberFormat="1" applyFont="1" applyFill="1" applyAlignment="1">
      <alignment horizontal="left"/>
    </xf>
    <xf numFmtId="164" fontId="3" fillId="3" borderId="8" xfId="0" applyNumberFormat="1" applyFont="1" applyFill="1" applyBorder="1" applyAlignment="1">
      <alignment horizontal="left"/>
    </xf>
    <xf numFmtId="0" fontId="18" fillId="2" borderId="7" xfId="0" applyFont="1" applyFill="1" applyBorder="1"/>
    <xf numFmtId="0" fontId="4" fillId="2" borderId="0" xfId="0" applyFont="1" applyFill="1" applyAlignment="1">
      <alignment horizontal="right"/>
    </xf>
    <xf numFmtId="10" fontId="10" fillId="0" borderId="8" xfId="1" applyNumberFormat="1" applyFont="1" applyFill="1" applyBorder="1" applyAlignment="1">
      <alignment horizontal="right"/>
    </xf>
    <xf numFmtId="0" fontId="2" fillId="8" borderId="3" xfId="0" applyFont="1" applyFill="1" applyBorder="1"/>
    <xf numFmtId="164" fontId="9" fillId="8" borderId="4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19" fillId="0" borderId="0" xfId="0" applyFont="1" applyAlignment="1">
      <alignment horizontal="left" indent="1"/>
    </xf>
    <xf numFmtId="6" fontId="16" fillId="2" borderId="0" xfId="0" applyNumberFormat="1" applyFont="1" applyFill="1" applyAlignment="1">
      <alignment horizontal="right"/>
    </xf>
    <xf numFmtId="6" fontId="9" fillId="2" borderId="4" xfId="0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left" indent="1"/>
    </xf>
    <xf numFmtId="10" fontId="10" fillId="2" borderId="8" xfId="1" applyNumberFormat="1" applyFont="1" applyFill="1" applyBorder="1" applyAlignment="1">
      <alignment horizontal="right"/>
    </xf>
    <xf numFmtId="164" fontId="9" fillId="2" borderId="6" xfId="0" applyNumberFormat="1" applyFont="1" applyFill="1" applyBorder="1" applyAlignment="1">
      <alignment horizontal="right"/>
    </xf>
    <xf numFmtId="164" fontId="8" fillId="9" borderId="0" xfId="0" applyNumberFormat="1" applyFont="1" applyFill="1" applyAlignment="1">
      <alignment horizontal="right"/>
    </xf>
    <xf numFmtId="164" fontId="14" fillId="7" borderId="4" xfId="1" applyNumberFormat="1" applyFont="1" applyFill="1" applyBorder="1"/>
    <xf numFmtId="10" fontId="2" fillId="7" borderId="4" xfId="1" applyNumberFormat="1" applyFont="1" applyFill="1" applyBorder="1"/>
    <xf numFmtId="169" fontId="2" fillId="3" borderId="4" xfId="1" applyNumberFormat="1" applyFont="1" applyFill="1" applyBorder="1" applyAlignment="1">
      <alignment horizontal="right"/>
    </xf>
    <xf numFmtId="10" fontId="10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left" indent="1"/>
    </xf>
    <xf numFmtId="0" fontId="13" fillId="10" borderId="5" xfId="0" applyFont="1" applyFill="1" applyBorder="1" applyAlignment="1">
      <alignment horizontal="left" indent="1"/>
    </xf>
    <xf numFmtId="10" fontId="20" fillId="10" borderId="8" xfId="0" applyNumberFormat="1" applyFont="1" applyFill="1" applyBorder="1" applyAlignment="1">
      <alignment horizontal="right"/>
    </xf>
    <xf numFmtId="164" fontId="13" fillId="10" borderId="6" xfId="0" applyNumberFormat="1" applyFont="1" applyFill="1" applyBorder="1" applyAlignment="1">
      <alignment horizontal="right"/>
    </xf>
    <xf numFmtId="170" fontId="14" fillId="2" borderId="4" xfId="0" applyNumberFormat="1" applyFont="1" applyFill="1" applyBorder="1" applyAlignment="1">
      <alignment horizontal="right"/>
    </xf>
    <xf numFmtId="164" fontId="13" fillId="6" borderId="0" xfId="0" applyNumberFormat="1" applyFont="1" applyFill="1" applyAlignment="1">
      <alignment horizontal="right"/>
    </xf>
    <xf numFmtId="169" fontId="4" fillId="2" borderId="6" xfId="1" applyNumberFormat="1" applyFont="1" applyFill="1" applyBorder="1" applyAlignment="1">
      <alignment horizontal="right"/>
    </xf>
    <xf numFmtId="0" fontId="2" fillId="7" borderId="3" xfId="0" applyFont="1" applyFill="1" applyBorder="1"/>
    <xf numFmtId="0" fontId="2" fillId="7" borderId="0" xfId="0" applyFont="1" applyFill="1" applyAlignment="1">
      <alignment horizontal="right"/>
    </xf>
    <xf numFmtId="164" fontId="2" fillId="7" borderId="4" xfId="0" applyNumberFormat="1" applyFont="1" applyFill="1" applyBorder="1" applyAlignment="1">
      <alignment horizontal="right"/>
    </xf>
    <xf numFmtId="164" fontId="9" fillId="2" borderId="0" xfId="0" applyNumberFormat="1" applyFont="1" applyFill="1" applyAlignment="1">
      <alignment horizontal="right"/>
    </xf>
    <xf numFmtId="3" fontId="8" fillId="2" borderId="4" xfId="0" applyNumberFormat="1" applyFont="1" applyFill="1" applyBorder="1" applyAlignment="1">
      <alignment horizontal="right"/>
    </xf>
    <xf numFmtId="0" fontId="2" fillId="10" borderId="5" xfId="0" applyFont="1" applyFill="1" applyBorder="1" applyAlignment="1">
      <alignment horizontal="left" indent="1"/>
    </xf>
    <xf numFmtId="0" fontId="2" fillId="10" borderId="8" xfId="0" applyFont="1" applyFill="1" applyBorder="1"/>
    <xf numFmtId="0" fontId="2" fillId="10" borderId="6" xfId="0" applyFont="1" applyFill="1" applyBorder="1"/>
    <xf numFmtId="0" fontId="8" fillId="2" borderId="6" xfId="0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64" fontId="8" fillId="5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0" fontId="8" fillId="2" borderId="0" xfId="0" applyNumberFormat="1" applyFont="1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12" fillId="7" borderId="3" xfId="0" applyFont="1" applyFill="1" applyBorder="1" applyAlignment="1">
      <alignment horizontal="right"/>
    </xf>
    <xf numFmtId="0" fontId="12" fillId="7" borderId="0" xfId="0" applyFont="1" applyFill="1" applyAlignment="1">
      <alignment horizontal="right"/>
    </xf>
    <xf numFmtId="9" fontId="12" fillId="7" borderId="4" xfId="1" applyFont="1" applyFill="1" applyBorder="1" applyAlignment="1">
      <alignment horizontal="right"/>
    </xf>
    <xf numFmtId="164" fontId="2" fillId="8" borderId="0" xfId="0" applyNumberFormat="1" applyFont="1" applyFill="1"/>
    <xf numFmtId="9" fontId="14" fillId="8" borderId="4" xfId="1" applyFont="1" applyFill="1" applyBorder="1"/>
    <xf numFmtId="164" fontId="2" fillId="2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5" fillId="5" borderId="3" xfId="0" applyFont="1" applyFill="1" applyBorder="1"/>
    <xf numFmtId="9" fontId="14" fillId="2" borderId="4" xfId="1" applyFont="1" applyFill="1" applyBorder="1" applyAlignment="1">
      <alignment horizontal="right"/>
    </xf>
    <xf numFmtId="164" fontId="3" fillId="2" borderId="6" xfId="1" applyNumberFormat="1" applyFont="1" applyFill="1" applyBorder="1"/>
    <xf numFmtId="164" fontId="10" fillId="2" borderId="0" xfId="2" applyNumberFormat="1" applyFont="1" applyFill="1" applyAlignment="1">
      <alignment horizontal="right"/>
    </xf>
    <xf numFmtId="164" fontId="3" fillId="3" borderId="3" xfId="0" applyNumberFormat="1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left"/>
    </xf>
    <xf numFmtId="171" fontId="8" fillId="2" borderId="3" xfId="0" applyNumberFormat="1" applyFont="1" applyFill="1" applyBorder="1" applyAlignment="1">
      <alignment horizontal="left" indent="1"/>
    </xf>
    <xf numFmtId="172" fontId="8" fillId="2" borderId="3" xfId="0" applyNumberFormat="1" applyFont="1" applyFill="1" applyBorder="1" applyAlignment="1">
      <alignment horizontal="left" indent="1"/>
    </xf>
    <xf numFmtId="0" fontId="2" fillId="2" borderId="0" xfId="0" applyFont="1" applyFill="1" applyBorder="1"/>
  </cellXfs>
  <cellStyles count="3">
    <cellStyle name="Currency" xfId="2" builtinId="4"/>
    <cellStyle name="Normal" xfId="0" builtinId="0"/>
    <cellStyle name="Percent" xfId="1" builtinId="5"/>
  </cellStyles>
  <dxfs count="8"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C00000"/>
      </font>
    </dxf>
    <dxf>
      <font>
        <b/>
        <i val="0"/>
        <strike/>
        <u val="none"/>
        <color theme="1"/>
      </font>
    </dxf>
  </dxfs>
  <tableStyles count="0" defaultTableStyle="TableStyleMedium2" defaultPivotStyle="PivotStyleLight16"/>
  <colors>
    <mruColors>
      <color rgb="FFC4E1F2"/>
      <color rgb="FFD9EBD6"/>
      <color rgb="FFFFEB9C"/>
      <color rgb="FF0213FF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BC50-6579-3948-A4E1-3B8F3C43C4CE}">
  <dimension ref="B2:N69"/>
  <sheetViews>
    <sheetView tabSelected="1" zoomScale="64" zoomScaleNormal="64" workbookViewId="0"/>
  </sheetViews>
  <sheetFormatPr baseColWidth="10" defaultRowHeight="14" x14ac:dyDescent="0.15"/>
  <cols>
    <col min="1" max="1" width="5.1640625" style="1" customWidth="1"/>
    <col min="2" max="2" width="42.1640625" style="1" bestFit="1" customWidth="1"/>
    <col min="3" max="3" width="14.83203125" style="1" bestFit="1" customWidth="1"/>
    <col min="4" max="4" width="18.6640625" style="1" bestFit="1" customWidth="1"/>
    <col min="5" max="5" width="10.1640625" style="1" customWidth="1"/>
    <col min="6" max="6" width="53.1640625" style="1" bestFit="1" customWidth="1"/>
    <col min="7" max="8" width="12.6640625" style="1" bestFit="1" customWidth="1"/>
    <col min="9" max="9" width="8.5" style="1" customWidth="1"/>
    <col min="10" max="10" width="26.5" style="1" bestFit="1" customWidth="1"/>
    <col min="11" max="11" width="12.6640625" style="1" bestFit="1" customWidth="1"/>
    <col min="12" max="16384" width="10.83203125" style="1"/>
  </cols>
  <sheetData>
    <row r="2" spans="2:11" x14ac:dyDescent="0.15">
      <c r="B2" s="17" t="s">
        <v>68</v>
      </c>
      <c r="C2" s="18"/>
      <c r="D2" s="19"/>
      <c r="E2" s="3"/>
      <c r="F2" s="17" t="s">
        <v>67</v>
      </c>
      <c r="G2" s="71"/>
      <c r="H2" s="19"/>
      <c r="J2" s="17" t="s">
        <v>83</v>
      </c>
      <c r="K2" s="19"/>
    </row>
    <row r="3" spans="2:11" x14ac:dyDescent="0.15">
      <c r="B3" s="13" t="s">
        <v>30</v>
      </c>
      <c r="C3" s="134"/>
      <c r="D3" s="20" t="s">
        <v>129</v>
      </c>
      <c r="E3" s="3"/>
      <c r="F3" s="34" t="s">
        <v>12</v>
      </c>
      <c r="H3" s="27"/>
      <c r="J3" s="25" t="s">
        <v>84</v>
      </c>
      <c r="K3" s="57">
        <f>IFERROR(($D$65/($H$49+0.01))-$H$17-$H$40,"")</f>
        <v>7644420.8682027645</v>
      </c>
    </row>
    <row r="4" spans="2:11" x14ac:dyDescent="0.15">
      <c r="B4" s="13" t="s">
        <v>29</v>
      </c>
      <c r="C4" s="134"/>
      <c r="D4" s="20" t="s">
        <v>124</v>
      </c>
      <c r="E4" s="3"/>
      <c r="F4" s="90" t="s">
        <v>94</v>
      </c>
      <c r="G4" s="91">
        <v>0.03</v>
      </c>
      <c r="H4" s="92">
        <f>+($C$16*$G$4)+40000</f>
        <v>295000</v>
      </c>
      <c r="J4" s="25" t="s">
        <v>85</v>
      </c>
      <c r="K4" s="57">
        <f>IFERROR((($D$65/$H$49)-(2*$H$17))-$H$40,"")</f>
        <v>7123363.5746031739</v>
      </c>
    </row>
    <row r="5" spans="2:11" x14ac:dyDescent="0.15">
      <c r="B5" s="13" t="s">
        <v>119</v>
      </c>
      <c r="C5" s="134"/>
      <c r="D5" s="29" t="s">
        <v>125</v>
      </c>
      <c r="E5" s="3"/>
      <c r="F5" s="37" t="s">
        <v>121</v>
      </c>
      <c r="G5" s="129">
        <v>45000</v>
      </c>
      <c r="H5" s="39">
        <f>$D$9*$G$5</f>
        <v>810000</v>
      </c>
      <c r="J5" s="25" t="s">
        <v>86</v>
      </c>
      <c r="K5" s="57">
        <f>IFERROR((($D$67/0.05)+$H$34-$H$17-$H$40),"")</f>
        <v>15561912.785714282</v>
      </c>
    </row>
    <row r="6" spans="2:11" x14ac:dyDescent="0.15">
      <c r="B6" s="13" t="s">
        <v>130</v>
      </c>
      <c r="C6" s="134"/>
      <c r="D6" s="29" t="s">
        <v>131</v>
      </c>
      <c r="E6" s="3"/>
      <c r="F6" s="37" t="s">
        <v>120</v>
      </c>
      <c r="G6" s="129">
        <v>0</v>
      </c>
      <c r="H6" s="39">
        <f>$G$6*$D$10</f>
        <v>0</v>
      </c>
      <c r="J6" s="84" t="s">
        <v>89</v>
      </c>
      <c r="K6" s="85">
        <f>$C$16</f>
        <v>8500000</v>
      </c>
    </row>
    <row r="7" spans="2:11" x14ac:dyDescent="0.15">
      <c r="B7" s="13" t="s">
        <v>118</v>
      </c>
      <c r="C7" s="134"/>
      <c r="D7" s="29">
        <v>1900</v>
      </c>
      <c r="E7" s="3"/>
      <c r="F7" s="37" t="s">
        <v>123</v>
      </c>
      <c r="G7" s="129">
        <v>85000</v>
      </c>
      <c r="H7" s="39">
        <f>$G$7*$D$12</f>
        <v>170000</v>
      </c>
      <c r="J7" s="59" t="s">
        <v>87</v>
      </c>
      <c r="K7" s="69">
        <f>MIN(K3:K5)</f>
        <v>7123363.5746031739</v>
      </c>
    </row>
    <row r="8" spans="2:11" x14ac:dyDescent="0.15">
      <c r="B8" s="13" t="s">
        <v>113</v>
      </c>
      <c r="C8" s="134"/>
      <c r="D8" s="109">
        <v>12178</v>
      </c>
      <c r="E8" s="3"/>
      <c r="F8" s="37" t="s">
        <v>95</v>
      </c>
      <c r="G8" s="97">
        <v>0.04</v>
      </c>
      <c r="H8" s="39">
        <f>+$C$16*$G$8</f>
        <v>340000</v>
      </c>
      <c r="J8" s="32" t="s">
        <v>88</v>
      </c>
      <c r="K8" s="70">
        <f>-(($K$6-$K$7)/$K$6)</f>
        <v>-0.16195722651727365</v>
      </c>
    </row>
    <row r="9" spans="2:11" x14ac:dyDescent="0.15">
      <c r="B9" s="13" t="s">
        <v>99</v>
      </c>
      <c r="C9" s="134"/>
      <c r="D9" s="20">
        <v>18</v>
      </c>
      <c r="E9" s="3"/>
      <c r="F9" s="99" t="s">
        <v>93</v>
      </c>
      <c r="G9" s="100"/>
      <c r="H9" s="101">
        <f>SUM(H5:H8)</f>
        <v>1320000</v>
      </c>
      <c r="J9" s="34" t="s">
        <v>114</v>
      </c>
      <c r="K9" s="127">
        <v>0.05</v>
      </c>
    </row>
    <row r="10" spans="2:11" x14ac:dyDescent="0.15">
      <c r="B10" s="15" t="s">
        <v>122</v>
      </c>
      <c r="C10" s="21"/>
      <c r="D10" s="113">
        <v>3</v>
      </c>
      <c r="F10" s="37" t="s">
        <v>96</v>
      </c>
      <c r="G10" s="97">
        <v>0.15</v>
      </c>
      <c r="H10" s="39">
        <f>H9*$G$10</f>
        <v>198000</v>
      </c>
      <c r="J10" s="67"/>
      <c r="K10" s="128">
        <f>$K$7*$K$9</f>
        <v>356168.17873015872</v>
      </c>
    </row>
    <row r="11" spans="2:11" x14ac:dyDescent="0.15">
      <c r="B11" s="13" t="s">
        <v>133</v>
      </c>
      <c r="C11" s="134"/>
      <c r="D11" s="20">
        <v>21</v>
      </c>
      <c r="E11" s="3"/>
      <c r="F11" s="37" t="s">
        <v>97</v>
      </c>
      <c r="G11" s="97">
        <v>0.1</v>
      </c>
      <c r="H11" s="39">
        <f>H9*$G$11</f>
        <v>132000</v>
      </c>
    </row>
    <row r="12" spans="2:11" x14ac:dyDescent="0.15">
      <c r="B12" s="13" t="s">
        <v>134</v>
      </c>
      <c r="C12" s="134"/>
      <c r="D12" s="20">
        <v>2</v>
      </c>
      <c r="E12" s="3"/>
      <c r="F12" s="37" t="s">
        <v>98</v>
      </c>
      <c r="G12" s="97">
        <v>0.1</v>
      </c>
      <c r="H12" s="39">
        <f>H10*$G$12</f>
        <v>19800</v>
      </c>
      <c r="J12" s="10" t="s">
        <v>90</v>
      </c>
    </row>
    <row r="13" spans="2:11" x14ac:dyDescent="0.15">
      <c r="B13" s="110" t="s">
        <v>112</v>
      </c>
      <c r="C13" s="111"/>
      <c r="D13" s="112">
        <f>SUM(D11:D12)</f>
        <v>23</v>
      </c>
      <c r="E13" s="5"/>
      <c r="F13" s="37" t="s">
        <v>13</v>
      </c>
      <c r="G13" s="98"/>
      <c r="H13" s="52">
        <v>0</v>
      </c>
      <c r="J13" s="87" t="s">
        <v>140</v>
      </c>
    </row>
    <row r="14" spans="2:11" x14ac:dyDescent="0.15">
      <c r="E14" s="6"/>
      <c r="F14" s="37" t="s">
        <v>14</v>
      </c>
      <c r="G14" s="98"/>
      <c r="H14" s="52">
        <v>0</v>
      </c>
      <c r="J14" s="74" t="s">
        <v>103</v>
      </c>
    </row>
    <row r="15" spans="2:11" x14ac:dyDescent="0.15">
      <c r="B15" s="17" t="s">
        <v>69</v>
      </c>
      <c r="C15" s="22"/>
      <c r="D15" s="23"/>
      <c r="E15" s="6"/>
      <c r="F15" s="37" t="s">
        <v>15</v>
      </c>
      <c r="G15" s="98"/>
      <c r="H15" s="52">
        <v>0</v>
      </c>
    </row>
    <row r="16" spans="2:11" x14ac:dyDescent="0.15">
      <c r="B16" s="126" t="s">
        <v>89</v>
      </c>
      <c r="C16" s="115">
        <v>8500000</v>
      </c>
      <c r="D16" s="24">
        <v>8500000</v>
      </c>
      <c r="E16" s="6"/>
      <c r="F16" s="37" t="s">
        <v>16</v>
      </c>
      <c r="G16" s="98"/>
      <c r="H16" s="52">
        <v>0</v>
      </c>
    </row>
    <row r="17" spans="2:14" x14ac:dyDescent="0.15">
      <c r="B17" s="119"/>
      <c r="C17" s="120" t="s">
        <v>88</v>
      </c>
      <c r="D17" s="121">
        <f>+-((D16-C16)/D16)</f>
        <v>0</v>
      </c>
      <c r="E17" s="6"/>
      <c r="F17" s="40" t="s">
        <v>17</v>
      </c>
      <c r="G17" s="73"/>
      <c r="H17" s="42">
        <f>SUM(H4,H9,H10:H16)</f>
        <v>1964800</v>
      </c>
    </row>
    <row r="18" spans="2:14" x14ac:dyDescent="0.15">
      <c r="B18" s="84" t="s">
        <v>114</v>
      </c>
      <c r="C18" s="122">
        <f>$C$16*$D$18</f>
        <v>425000</v>
      </c>
      <c r="D18" s="123">
        <v>0.05</v>
      </c>
      <c r="E18" s="6"/>
      <c r="F18" s="7"/>
      <c r="G18" s="7"/>
      <c r="H18" s="8"/>
    </row>
    <row r="19" spans="2:14" x14ac:dyDescent="0.15">
      <c r="B19" s="25" t="s">
        <v>115</v>
      </c>
      <c r="C19" s="26">
        <f>C16/(D11+D12)</f>
        <v>369565.21739130432</v>
      </c>
      <c r="D19" s="14"/>
      <c r="E19" s="6"/>
      <c r="F19" s="17" t="s">
        <v>64</v>
      </c>
      <c r="G19" s="71"/>
      <c r="H19" s="19"/>
    </row>
    <row r="20" spans="2:14" x14ac:dyDescent="0.15">
      <c r="B20" s="67" t="s">
        <v>116</v>
      </c>
      <c r="C20" s="124">
        <f>C16/D8</f>
        <v>697.97996386927241</v>
      </c>
      <c r="D20" s="125"/>
      <c r="E20" s="6"/>
      <c r="F20" s="34" t="s">
        <v>8</v>
      </c>
      <c r="G20" s="72"/>
      <c r="H20" s="27"/>
    </row>
    <row r="21" spans="2:14" x14ac:dyDescent="0.15">
      <c r="B21" s="34" t="s">
        <v>117</v>
      </c>
      <c r="C21" s="2"/>
      <c r="D21" s="27"/>
      <c r="E21" s="6"/>
      <c r="F21" s="13" t="s">
        <v>135</v>
      </c>
      <c r="G21" s="72"/>
      <c r="H21" s="29">
        <v>2</v>
      </c>
    </row>
    <row r="22" spans="2:14" x14ac:dyDescent="0.15">
      <c r="B22" s="13" t="s">
        <v>26</v>
      </c>
      <c r="C22" s="116" t="s">
        <v>139</v>
      </c>
      <c r="D22" s="27"/>
      <c r="E22" s="6"/>
      <c r="F22" s="13" t="s">
        <v>18</v>
      </c>
      <c r="G22" s="74"/>
      <c r="H22" s="52">
        <v>1717560</v>
      </c>
    </row>
    <row r="23" spans="2:14" x14ac:dyDescent="0.15">
      <c r="B23" s="28" t="s">
        <v>43</v>
      </c>
      <c r="C23" s="117">
        <v>0.65</v>
      </c>
      <c r="D23" s="27"/>
      <c r="F23" s="13" t="s">
        <v>19</v>
      </c>
      <c r="G23" s="74"/>
      <c r="H23" s="52">
        <v>213647.32</v>
      </c>
    </row>
    <row r="24" spans="2:14" x14ac:dyDescent="0.15">
      <c r="B24" s="13" t="s">
        <v>27</v>
      </c>
      <c r="C24" s="117">
        <v>6.2399999999999997E-2</v>
      </c>
      <c r="D24" s="29"/>
      <c r="E24" s="3"/>
      <c r="F24" s="13" t="s">
        <v>76</v>
      </c>
      <c r="G24" s="74"/>
      <c r="H24" s="53">
        <f>H23/$D$11</f>
        <v>10173.681904761905</v>
      </c>
    </row>
    <row r="25" spans="2:14" x14ac:dyDescent="0.15">
      <c r="B25" s="28" t="s">
        <v>45</v>
      </c>
      <c r="C25" s="116">
        <v>25</v>
      </c>
      <c r="D25" s="27"/>
      <c r="E25" s="3"/>
      <c r="F25" s="13" t="s">
        <v>20</v>
      </c>
      <c r="G25" s="74"/>
      <c r="H25" s="54">
        <f>H23/H22</f>
        <v>0.12439001839819279</v>
      </c>
    </row>
    <row r="26" spans="2:14" x14ac:dyDescent="0.15">
      <c r="B26" s="13" t="s">
        <v>28</v>
      </c>
      <c r="C26" s="117">
        <v>0.02</v>
      </c>
      <c r="D26" s="27"/>
      <c r="E26" s="6"/>
      <c r="F26" s="34" t="s">
        <v>9</v>
      </c>
      <c r="G26" s="72"/>
      <c r="H26" s="27"/>
    </row>
    <row r="27" spans="2:14" x14ac:dyDescent="0.15">
      <c r="B27" s="13" t="s">
        <v>24</v>
      </c>
      <c r="C27" s="26">
        <f>C26*C28</f>
        <v>136042.4</v>
      </c>
      <c r="D27" s="27"/>
      <c r="E27" s="6"/>
      <c r="F27" s="13" t="s">
        <v>21</v>
      </c>
      <c r="G27" s="74"/>
      <c r="H27" s="55">
        <v>0</v>
      </c>
    </row>
    <row r="28" spans="2:14" x14ac:dyDescent="0.15">
      <c r="B28" s="13" t="s">
        <v>4</v>
      </c>
      <c r="C28" s="26">
        <f>IF(B23="LTV:",C16*(C23),C23*(H17+C16))</f>
        <v>6802120</v>
      </c>
      <c r="D28" s="27"/>
      <c r="E28" s="6"/>
      <c r="F28" s="13" t="s">
        <v>22</v>
      </c>
      <c r="G28" s="74"/>
      <c r="H28" s="53">
        <f>C16*H27</f>
        <v>0</v>
      </c>
    </row>
    <row r="29" spans="2:14" x14ac:dyDescent="0.15">
      <c r="B29" s="13" t="s">
        <v>35</v>
      </c>
      <c r="C29" s="26" cm="1">
        <f t="array" ref="C29">_xlfn.SWITCH(B25,"Amortization", PMT(C24/12, C25*12, -C28)*12,"IO", C28*C24)</f>
        <v>424452.288</v>
      </c>
      <c r="D29" s="30"/>
      <c r="E29" s="6"/>
      <c r="F29" s="13" t="s">
        <v>23</v>
      </c>
      <c r="G29" s="74"/>
      <c r="H29" s="53">
        <f>H28*H25</f>
        <v>0</v>
      </c>
      <c r="N29" s="4"/>
    </row>
    <row r="30" spans="2:14" x14ac:dyDescent="0.15">
      <c r="B30" s="13" t="s">
        <v>104</v>
      </c>
      <c r="C30" s="26">
        <f>($C$29/12)*$D$30</f>
        <v>212226.14399999997</v>
      </c>
      <c r="D30" s="102">
        <v>6</v>
      </c>
      <c r="E30" s="6"/>
      <c r="F30" s="15" t="s">
        <v>34</v>
      </c>
      <c r="G30" s="75"/>
      <c r="H30" s="56">
        <f>H29/$D$11</f>
        <v>0</v>
      </c>
    </row>
    <row r="31" spans="2:14" x14ac:dyDescent="0.15">
      <c r="B31" s="86" t="s">
        <v>31</v>
      </c>
      <c r="C31" s="118">
        <f>C16-C28+H17+C27+C30</f>
        <v>4010948.5439999998</v>
      </c>
      <c r="D31" s="31">
        <f>+C31-D32</f>
        <v>3810401.1168</v>
      </c>
      <c r="E31" s="6"/>
    </row>
    <row r="32" spans="2:14" x14ac:dyDescent="0.15">
      <c r="B32" s="32" t="s">
        <v>32</v>
      </c>
      <c r="C32" s="83">
        <v>0.05</v>
      </c>
      <c r="D32" s="33">
        <f>+$C$31*$C$32</f>
        <v>200547.42720000001</v>
      </c>
      <c r="E32" s="6"/>
      <c r="F32" s="17" t="s">
        <v>57</v>
      </c>
      <c r="G32" s="71"/>
      <c r="H32" s="19"/>
    </row>
    <row r="33" spans="2:9" x14ac:dyDescent="0.15">
      <c r="E33" s="6"/>
      <c r="F33" s="34" t="s">
        <v>58</v>
      </c>
      <c r="G33" s="72"/>
      <c r="H33" s="14"/>
    </row>
    <row r="34" spans="2:9" x14ac:dyDescent="0.15">
      <c r="B34" s="17" t="s">
        <v>71</v>
      </c>
      <c r="C34" s="18"/>
      <c r="D34" s="19"/>
      <c r="E34" s="6"/>
      <c r="F34" s="13" t="s">
        <v>59</v>
      </c>
      <c r="G34" s="74"/>
      <c r="H34" s="57">
        <f>C28</f>
        <v>6802120</v>
      </c>
      <c r="I34" s="93"/>
    </row>
    <row r="35" spans="2:9" x14ac:dyDescent="0.15">
      <c r="B35" s="34" t="s">
        <v>10</v>
      </c>
      <c r="C35" s="35" t="s">
        <v>37</v>
      </c>
      <c r="D35" s="36" t="s">
        <v>11</v>
      </c>
      <c r="E35" s="6"/>
      <c r="F35" s="13" t="s">
        <v>60</v>
      </c>
      <c r="G35" s="74"/>
      <c r="H35" s="57">
        <f>C31</f>
        <v>4010948.5439999998</v>
      </c>
    </row>
    <row r="36" spans="2:9" x14ac:dyDescent="0.15">
      <c r="B36" s="37" t="s">
        <v>127</v>
      </c>
      <c r="C36" s="38">
        <v>3588</v>
      </c>
      <c r="D36" s="39">
        <f>C36*$D$9*12</f>
        <v>775008</v>
      </c>
      <c r="E36" s="6"/>
      <c r="F36" s="44" t="s">
        <v>63</v>
      </c>
      <c r="G36" s="76"/>
      <c r="H36" s="49">
        <f>SUM(H34:H35)</f>
        <v>10813068.544</v>
      </c>
    </row>
    <row r="37" spans="2:9" x14ac:dyDescent="0.15">
      <c r="B37" s="37" t="s">
        <v>132</v>
      </c>
      <c r="C37" s="38">
        <v>450</v>
      </c>
      <c r="D37" s="39">
        <f>C37*$D$9*12</f>
        <v>97200</v>
      </c>
      <c r="E37" s="9"/>
      <c r="F37" s="34" t="s">
        <v>61</v>
      </c>
      <c r="G37" s="72"/>
      <c r="H37" s="14"/>
    </row>
    <row r="38" spans="2:9" x14ac:dyDescent="0.15">
      <c r="B38" s="37" t="s">
        <v>126</v>
      </c>
      <c r="C38" s="38">
        <v>967</v>
      </c>
      <c r="D38" s="39">
        <f>$C$38*$D$10*12</f>
        <v>34812</v>
      </c>
      <c r="E38" s="3"/>
      <c r="F38" s="58" t="s">
        <v>105</v>
      </c>
      <c r="G38" s="77"/>
      <c r="H38" s="53">
        <f>C16</f>
        <v>8500000</v>
      </c>
    </row>
    <row r="39" spans="2:9" x14ac:dyDescent="0.15">
      <c r="B39" s="37" t="s">
        <v>46</v>
      </c>
      <c r="C39" s="38">
        <v>5974</v>
      </c>
      <c r="D39" s="39">
        <f>C39*$D$12*12</f>
        <v>143376</v>
      </c>
      <c r="E39" s="9"/>
      <c r="F39" s="58" t="s">
        <v>106</v>
      </c>
      <c r="G39" s="77"/>
      <c r="H39" s="53">
        <f>H17</f>
        <v>1964800</v>
      </c>
    </row>
    <row r="40" spans="2:9" x14ac:dyDescent="0.15">
      <c r="B40" s="37" t="s">
        <v>47</v>
      </c>
      <c r="C40" s="38">
        <v>750</v>
      </c>
      <c r="D40" s="39">
        <f>C40*$D$11*12</f>
        <v>189000</v>
      </c>
      <c r="E40" s="3"/>
      <c r="F40" s="58" t="s">
        <v>107</v>
      </c>
      <c r="G40" s="77"/>
      <c r="H40" s="53">
        <f>C26*C28</f>
        <v>136042.4</v>
      </c>
    </row>
    <row r="41" spans="2:9" x14ac:dyDescent="0.15">
      <c r="B41" s="37" t="s">
        <v>137</v>
      </c>
      <c r="C41" s="38">
        <v>0</v>
      </c>
      <c r="D41" s="39">
        <f>C41*12</f>
        <v>0</v>
      </c>
      <c r="E41" s="9"/>
      <c r="F41" s="58" t="s">
        <v>104</v>
      </c>
      <c r="G41" s="77"/>
      <c r="H41" s="53">
        <f>C30</f>
        <v>212226.14399999997</v>
      </c>
    </row>
    <row r="42" spans="2:9" x14ac:dyDescent="0.15">
      <c r="B42" s="37" t="s">
        <v>136</v>
      </c>
      <c r="C42" s="38">
        <v>400</v>
      </c>
      <c r="D42" s="39">
        <f t="shared" ref="D42" si="0">C42*12</f>
        <v>4800</v>
      </c>
      <c r="E42" s="3"/>
      <c r="F42" s="40" t="s">
        <v>62</v>
      </c>
      <c r="G42" s="73"/>
      <c r="H42" s="42">
        <f>SUM(H38:H41)</f>
        <v>10813068.544</v>
      </c>
    </row>
    <row r="43" spans="2:9" x14ac:dyDescent="0.15">
      <c r="B43" s="132">
        <v>0.03</v>
      </c>
      <c r="C43" s="88">
        <f>-B43*SUM(C36:C38)</f>
        <v>-150.15</v>
      </c>
      <c r="D43" s="89">
        <f>C43*$D$11*12</f>
        <v>-37837.800000000003</v>
      </c>
      <c r="E43" s="3"/>
    </row>
    <row r="44" spans="2:9" x14ac:dyDescent="0.15">
      <c r="B44" s="133">
        <v>0.05</v>
      </c>
      <c r="C44" s="88">
        <f>-B44*SUM(C39:C40)</f>
        <v>-336.20000000000005</v>
      </c>
      <c r="D44" s="89">
        <f t="shared" ref="D44" si="1">C44*$D$11*12</f>
        <v>-84722.400000000009</v>
      </c>
      <c r="F44" s="17" t="s">
        <v>51</v>
      </c>
      <c r="G44" s="71"/>
      <c r="H44" s="19"/>
    </row>
    <row r="45" spans="2:9" x14ac:dyDescent="0.15">
      <c r="B45" s="40" t="s">
        <v>5</v>
      </c>
      <c r="C45" s="41">
        <f>D45/$D$11</f>
        <v>53411.228571428575</v>
      </c>
      <c r="D45" s="42">
        <f>SUM(D36:D44)</f>
        <v>1121635.8</v>
      </c>
      <c r="F45" s="59" t="s">
        <v>78</v>
      </c>
      <c r="G45" s="78"/>
      <c r="H45" s="60">
        <v>7.2499999999999995E-2</v>
      </c>
    </row>
    <row r="46" spans="2:9" x14ac:dyDescent="0.15">
      <c r="C46" s="2"/>
      <c r="D46" s="2"/>
      <c r="F46" s="59" t="s">
        <v>100</v>
      </c>
      <c r="G46" s="78"/>
      <c r="H46" s="94">
        <v>595332</v>
      </c>
    </row>
    <row r="47" spans="2:9" x14ac:dyDescent="0.15">
      <c r="B47" s="17" t="s">
        <v>72</v>
      </c>
      <c r="C47" s="18"/>
      <c r="D47" s="19"/>
      <c r="F47" s="59" t="s">
        <v>101</v>
      </c>
      <c r="G47" s="78"/>
      <c r="H47" s="95">
        <f>$H$46/$C$16</f>
        <v>7.0039058823529413E-2</v>
      </c>
    </row>
    <row r="48" spans="2:9" x14ac:dyDescent="0.15">
      <c r="B48" s="34" t="s">
        <v>70</v>
      </c>
      <c r="C48" s="35" t="s">
        <v>33</v>
      </c>
      <c r="D48" s="36" t="s">
        <v>11</v>
      </c>
      <c r="F48" s="130" t="s">
        <v>102</v>
      </c>
      <c r="G48" s="79"/>
      <c r="H48" s="61">
        <f>D65/C16</f>
        <v>8.8853870974789917E-2</v>
      </c>
    </row>
    <row r="49" spans="2:8" x14ac:dyDescent="0.15">
      <c r="B49" s="37" t="s">
        <v>44</v>
      </c>
      <c r="C49" s="38">
        <v>3168.73</v>
      </c>
      <c r="D49" s="39">
        <f t="shared" ref="D49:D60" si="2">C49*$D$13</f>
        <v>72880.789999999994</v>
      </c>
      <c r="F49" s="130" t="s">
        <v>53</v>
      </c>
      <c r="G49" s="79"/>
      <c r="H49" s="62">
        <v>6.7500000000000004E-2</v>
      </c>
    </row>
    <row r="50" spans="2:8" x14ac:dyDescent="0.15">
      <c r="B50" s="28" t="s">
        <v>6</v>
      </c>
      <c r="C50" s="26">
        <f>$H$23/$D$13</f>
        <v>9289.0139130434782</v>
      </c>
      <c r="D50" s="39">
        <f t="shared" si="2"/>
        <v>213647.32</v>
      </c>
      <c r="F50" s="130" t="s">
        <v>52</v>
      </c>
      <c r="G50" s="79"/>
      <c r="H50" s="96">
        <f>D69</f>
        <v>1.7793705550380126</v>
      </c>
    </row>
    <row r="51" spans="2:8" x14ac:dyDescent="0.15">
      <c r="B51" s="43">
        <v>6.5000000000000002E-2</v>
      </c>
      <c r="C51" s="108">
        <f>B51*C45</f>
        <v>3471.7298571428573</v>
      </c>
      <c r="D51" s="39">
        <f t="shared" si="2"/>
        <v>79849.786714285714</v>
      </c>
      <c r="F51" s="59" t="s">
        <v>54</v>
      </c>
      <c r="G51" s="78"/>
      <c r="H51" s="63">
        <f>(H55-H42)/H39</f>
        <v>0.19133623300243002</v>
      </c>
    </row>
    <row r="52" spans="2:8" x14ac:dyDescent="0.15">
      <c r="B52" s="37" t="s">
        <v>1</v>
      </c>
      <c r="C52" s="38">
        <v>0</v>
      </c>
      <c r="D52" s="39">
        <f t="shared" si="2"/>
        <v>0</v>
      </c>
      <c r="F52" s="59" t="s">
        <v>55</v>
      </c>
      <c r="G52" s="78"/>
      <c r="H52" s="64">
        <f>D62</f>
        <v>0.32664604385334856</v>
      </c>
    </row>
    <row r="53" spans="2:8" x14ac:dyDescent="0.15">
      <c r="B53" s="37" t="s">
        <v>39</v>
      </c>
      <c r="C53" s="38">
        <v>0</v>
      </c>
      <c r="D53" s="39">
        <f t="shared" si="2"/>
        <v>0</v>
      </c>
      <c r="F53" s="130" t="s">
        <v>56</v>
      </c>
      <c r="G53" s="79"/>
      <c r="H53" s="61">
        <f>D68/(C31-C30)</f>
        <v>8.7083387637305207E-2</v>
      </c>
    </row>
    <row r="54" spans="2:8" x14ac:dyDescent="0.15">
      <c r="B54" s="37" t="s">
        <v>40</v>
      </c>
      <c r="C54" s="38">
        <v>0</v>
      </c>
      <c r="D54" s="39">
        <f t="shared" si="2"/>
        <v>0</v>
      </c>
      <c r="F54" s="130" t="s">
        <v>65</v>
      </c>
      <c r="G54" s="79"/>
      <c r="H54" s="61">
        <f>D65/(H42)</f>
        <v>6.9846769232291134E-2</v>
      </c>
    </row>
    <row r="55" spans="2:8" x14ac:dyDescent="0.15">
      <c r="B55" s="37" t="s">
        <v>41</v>
      </c>
      <c r="C55" s="38">
        <v>0</v>
      </c>
      <c r="D55" s="39">
        <f t="shared" si="2"/>
        <v>0</v>
      </c>
      <c r="F55" s="130" t="s">
        <v>66</v>
      </c>
      <c r="G55" s="79"/>
      <c r="H55" s="65">
        <f>IFERROR(D65/H49,"")</f>
        <v>11189005.974603174</v>
      </c>
    </row>
    <row r="56" spans="2:8" x14ac:dyDescent="0.15">
      <c r="B56" s="37" t="s">
        <v>138</v>
      </c>
      <c r="C56" s="38">
        <v>0</v>
      </c>
      <c r="D56" s="39">
        <f t="shared" si="2"/>
        <v>0</v>
      </c>
      <c r="F56" s="131" t="s">
        <v>42</v>
      </c>
      <c r="G56" s="80"/>
      <c r="H56" s="114">
        <f>IFERROR(H55-H42,"")</f>
        <v>375937.43060317449</v>
      </c>
    </row>
    <row r="57" spans="2:8" x14ac:dyDescent="0.15">
      <c r="B57" s="37" t="s">
        <v>0</v>
      </c>
      <c r="C57" s="38">
        <v>0</v>
      </c>
      <c r="D57" s="39">
        <f t="shared" si="2"/>
        <v>0</v>
      </c>
    </row>
    <row r="58" spans="2:8" x14ac:dyDescent="0.15">
      <c r="B58" s="37" t="s">
        <v>2</v>
      </c>
      <c r="C58" s="38">
        <v>0</v>
      </c>
      <c r="D58" s="39">
        <f t="shared" si="2"/>
        <v>0</v>
      </c>
      <c r="F58" s="17" t="s">
        <v>48</v>
      </c>
      <c r="G58" s="71"/>
      <c r="H58" s="19"/>
    </row>
    <row r="59" spans="2:8" x14ac:dyDescent="0.15">
      <c r="B59" s="37" t="s">
        <v>128</v>
      </c>
      <c r="C59" s="38">
        <v>0</v>
      </c>
      <c r="D59" s="39">
        <f t="shared" si="2"/>
        <v>0</v>
      </c>
      <c r="F59" s="25" t="s">
        <v>49</v>
      </c>
      <c r="G59" s="82" t="s">
        <v>80</v>
      </c>
      <c r="H59" s="66" t="str">
        <f>IFERROR(IF($H$54&gt;=$H$49+0.01,"PASS","FAIL"),"N/A")</f>
        <v>FAIL</v>
      </c>
    </row>
    <row r="60" spans="2:8" x14ac:dyDescent="0.15">
      <c r="B60" s="37" t="s">
        <v>3</v>
      </c>
      <c r="C60" s="38">
        <v>0</v>
      </c>
      <c r="D60" s="39">
        <f t="shared" si="2"/>
        <v>0</v>
      </c>
      <c r="F60" s="25" t="s">
        <v>74</v>
      </c>
      <c r="G60" s="82" t="s">
        <v>80</v>
      </c>
      <c r="H60" s="66" t="str">
        <f>IFERROR(IF($H$51&gt;=2,"PASS","FAIL"),"N/A")</f>
        <v>FAIL</v>
      </c>
    </row>
    <row r="61" spans="2:8" x14ac:dyDescent="0.15">
      <c r="B61" s="44" t="s">
        <v>7</v>
      </c>
      <c r="C61" s="103">
        <f>SUM(C49:C60)</f>
        <v>15929.473770186334</v>
      </c>
      <c r="D61" s="49">
        <f>SUM(D49:D60)</f>
        <v>366377.89671428571</v>
      </c>
      <c r="F61" s="25" t="s">
        <v>77</v>
      </c>
      <c r="G61" s="82" t="s">
        <v>80</v>
      </c>
      <c r="H61" s="66" t="str">
        <f>IFERROR(IF(OR($H$54&lt;=0,$C$24&lt;=0),"N/A",IF($H$54&gt;=$C$24,"PASS","FAIL")),"N/A")</f>
        <v>PASS</v>
      </c>
    </row>
    <row r="62" spans="2:8" x14ac:dyDescent="0.15">
      <c r="B62" s="46" t="s">
        <v>25</v>
      </c>
      <c r="C62" s="47"/>
      <c r="D62" s="48">
        <f>D61/D45</f>
        <v>0.32664604385334856</v>
      </c>
      <c r="F62" s="25" t="s">
        <v>111</v>
      </c>
      <c r="G62" s="82" t="s">
        <v>81</v>
      </c>
      <c r="H62" s="66" t="str">
        <f>IFERROR(IF($H$53&gt;=0.045,"PASS","FAIL"),"N/A")</f>
        <v>PASS</v>
      </c>
    </row>
    <row r="63" spans="2:8" x14ac:dyDescent="0.15">
      <c r="F63" s="25" t="s">
        <v>50</v>
      </c>
      <c r="G63" s="82" t="s">
        <v>81</v>
      </c>
      <c r="H63" s="66" t="str">
        <f>IFERROR(IF($H$50&lt;=0,"N/A",IF($H$50&gt;=1.3,"PASS",IF($H$50&gt;=1.15,"WARN","FAIL"))),"N/A")</f>
        <v>PASS</v>
      </c>
    </row>
    <row r="64" spans="2:8" x14ac:dyDescent="0.15">
      <c r="B64" s="17" t="s">
        <v>73</v>
      </c>
      <c r="C64" s="18"/>
      <c r="D64" s="19"/>
      <c r="F64" s="25" t="s">
        <v>75</v>
      </c>
      <c r="G64" s="82" t="s">
        <v>81</v>
      </c>
      <c r="H64" s="66" t="str">
        <f>IFERROR(IF($H$52&gt;=0.28,"PASS","FAIL"),"N/A")</f>
        <v>PASS</v>
      </c>
    </row>
    <row r="65" spans="2:8" x14ac:dyDescent="0.15">
      <c r="B65" s="44" t="s">
        <v>38</v>
      </c>
      <c r="C65" s="103"/>
      <c r="D65" s="49">
        <f>D45-D61</f>
        <v>755257.90328571433</v>
      </c>
      <c r="F65" s="67" t="s">
        <v>79</v>
      </c>
      <c r="G65" s="47" t="s">
        <v>81</v>
      </c>
      <c r="H65" s="68" t="str">
        <f>IFERROR(IF(OR($H$48&lt;=0,$H$45&lt;=0),"N/A",IF($H$48&gt;=$H$45,"PASS","FAIL")),"N/A")</f>
        <v>PASS</v>
      </c>
    </row>
    <row r="66" spans="2:8" x14ac:dyDescent="0.15">
      <c r="B66" s="44" t="s">
        <v>36</v>
      </c>
      <c r="C66" s="45"/>
      <c r="D66" s="49">
        <f>C29</f>
        <v>424452.288</v>
      </c>
    </row>
    <row r="67" spans="2:8" x14ac:dyDescent="0.15">
      <c r="B67" s="105" t="s">
        <v>109</v>
      </c>
      <c r="C67" s="106"/>
      <c r="D67" s="107">
        <f>D68+C30</f>
        <v>543031.75928571424</v>
      </c>
      <c r="F67" s="11" t="s">
        <v>82</v>
      </c>
      <c r="G67" s="81"/>
      <c r="H67" s="12"/>
    </row>
    <row r="68" spans="2:8" x14ac:dyDescent="0.15">
      <c r="B68" s="50" t="s">
        <v>110</v>
      </c>
      <c r="C68" s="51"/>
      <c r="D68" s="114">
        <f>D65-D66</f>
        <v>330805.61528571433</v>
      </c>
      <c r="F68" s="13" t="s">
        <v>91</v>
      </c>
      <c r="G68" s="74"/>
      <c r="H68" s="14"/>
    </row>
    <row r="69" spans="2:8" x14ac:dyDescent="0.15">
      <c r="B69" s="46" t="s">
        <v>108</v>
      </c>
      <c r="C69" s="47"/>
      <c r="D69" s="104">
        <f>D65/D66</f>
        <v>1.7793705550380126</v>
      </c>
      <c r="F69" s="15" t="s">
        <v>92</v>
      </c>
      <c r="G69" s="75"/>
      <c r="H69" s="16"/>
    </row>
  </sheetData>
  <conditionalFormatting sqref="C25">
    <cfRule type="expression" dxfId="7" priority="7">
      <formula>$B$25="IO"</formula>
    </cfRule>
  </conditionalFormatting>
  <conditionalFormatting sqref="C37:D44">
    <cfRule type="expression" dxfId="6" priority="12">
      <formula>C37&lt;0</formula>
    </cfRule>
  </conditionalFormatting>
  <conditionalFormatting sqref="C68:D68">
    <cfRule type="cellIs" dxfId="5" priority="1" operator="lessThan">
      <formula>0</formula>
    </cfRule>
  </conditionalFormatting>
  <conditionalFormatting sqref="D69">
    <cfRule type="cellIs" dxfId="4" priority="8" operator="lessThan">
      <formula>1.2</formula>
    </cfRule>
  </conditionalFormatting>
  <conditionalFormatting sqref="F38:G41">
    <cfRule type="cellIs" dxfId="3" priority="14" operator="lessThan">
      <formula>0</formula>
    </cfRule>
  </conditionalFormatting>
  <conditionalFormatting sqref="F48:G50 F53:G56 B62 B69">
    <cfRule type="cellIs" dxfId="2" priority="15" operator="lessThan">
      <formula>0</formula>
    </cfRule>
  </conditionalFormatting>
  <conditionalFormatting sqref="H5:H16 C50:D60">
    <cfRule type="expression" dxfId="1" priority="11">
      <formula>C5&lt;0</formula>
    </cfRule>
  </conditionalFormatting>
  <conditionalFormatting sqref="H55:H56">
    <cfRule type="cellIs" dxfId="0" priority="9" operator="lessThan">
      <formula>0</formula>
    </cfRule>
  </conditionalFormatting>
  <conditionalFormatting sqref="J3:J5">
    <cfRule type="colorScale" priority="4">
      <colorScale>
        <cfvo type="min"/>
        <cfvo type="max"/>
        <color rgb="FF63BE7B"/>
        <color rgb="FFFFEF9C"/>
      </colorScale>
    </cfRule>
  </conditionalFormatting>
  <dataValidations count="3">
    <dataValidation type="list" allowBlank="1" showInputMessage="1" showErrorMessage="1" sqref="C22" xr:uid="{F41A0722-1E61-FA40-8A2D-144F0CB61680}">
      <formula1>"Agency, Bank, CMBS, Debt Fund, LifeCo, Mortgage REIT, Private Credit"</formula1>
    </dataValidation>
    <dataValidation type="list" allowBlank="1" showInputMessage="1" showErrorMessage="1" sqref="B25" xr:uid="{68C8DC41-7640-6749-B02F-6BE80D251F5C}">
      <formula1>"Amortization, IO"</formula1>
    </dataValidation>
    <dataValidation type="list" allowBlank="1" showInputMessage="1" showErrorMessage="1" sqref="B23" xr:uid="{B288824B-EBBA-414D-A362-9776B318931B}">
      <formula1>"LTV:,LTC:"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BOE Analysis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</dc:creator>
  <cp:lastModifiedBy>Adam Lewin</cp:lastModifiedBy>
  <cp:lastPrinted>2020-08-18T13:07:13Z</cp:lastPrinted>
  <dcterms:created xsi:type="dcterms:W3CDTF">2015-06-13T18:00:06Z</dcterms:created>
  <dcterms:modified xsi:type="dcterms:W3CDTF">2025-12-19T18:10:02Z</dcterms:modified>
</cp:coreProperties>
</file>